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min/Desktop/GML/ACDC/Phase A_Balance/newest/v14/"/>
    </mc:Choice>
  </mc:AlternateContent>
  <xr:revisionPtr revIDLastSave="0" documentId="13_ncr:1_{D6C413E4-0CFD-9043-BDD9-8216FFF5D092}" xr6:coauthVersionLast="47" xr6:coauthVersionMax="47" xr10:uidLastSave="{00000000-0000-0000-0000-000000000000}"/>
  <bookViews>
    <workbookView xWindow="-860" yWindow="9580" windowWidth="29400" windowHeight="18460" firstSheet="3" activeTab="11" xr2:uid="{4EE2BD2D-18E2-7C40-B1D7-52E9F003A5DB}"/>
  </bookViews>
  <sheets>
    <sheet name="Mode" sheetId="7" r:id="rId1"/>
    <sheet name="AC Bus Data" sheetId="1" r:id="rId2"/>
    <sheet name="AC Line Data" sheetId="2" r:id="rId3"/>
    <sheet name="AC Gen Data" sheetId="12" r:id="rId4"/>
    <sheet name="AC 3w Transformer Data" sheetId="14" r:id="rId5"/>
    <sheet name="AC P Consume Data" sheetId="9" r:id="rId6"/>
    <sheet name="AC Q Consume Data" sheetId="10" r:id="rId7"/>
    <sheet name="DC Bus Data" sheetId="3" r:id="rId8"/>
    <sheet name="DC Line Data" sheetId="4" r:id="rId9"/>
    <sheet name="DC Gen Data" sheetId="13" r:id="rId10"/>
    <sheet name="DC P Consume Data" sheetId="11" r:id="rId11"/>
    <sheet name="ACDC IC Data" sheetId="5" r:id="rId12"/>
    <sheet name="MVDC LVDC Converter Data" sheetId="8" r:id="rId13"/>
    <sheet name="Sbase,frequency" sheetId="6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2" l="1"/>
  <c r="E6" i="2"/>
  <c r="E5" i="2"/>
  <c r="E4" i="2"/>
  <c r="E3" i="2"/>
  <c r="E2" i="2"/>
</calcChain>
</file>

<file path=xl/sharedStrings.xml><?xml version="1.0" encoding="utf-8"?>
<sst xmlns="http://schemas.openxmlformats.org/spreadsheetml/2006/main" count="136" uniqueCount="117">
  <si>
    <t>Bus</t>
    <phoneticPr fontId="1" type="noConversion"/>
  </si>
  <si>
    <t>From</t>
    <phoneticPr fontId="1" type="noConversion"/>
  </si>
  <si>
    <t>To</t>
    <phoneticPr fontId="1" type="noConversion"/>
  </si>
  <si>
    <t>R [Ω]</t>
    <phoneticPr fontId="1" type="noConversion"/>
  </si>
  <si>
    <t>From(AC)</t>
    <phoneticPr fontId="1" type="noConversion"/>
  </si>
  <si>
    <t>To(DC)</t>
    <phoneticPr fontId="1" type="noConversion"/>
  </si>
  <si>
    <t>Operating Point (P)</t>
    <phoneticPr fontId="1" type="noConversion"/>
  </si>
  <si>
    <t>Z_p</t>
    <phoneticPr fontId="1" type="noConversion"/>
  </si>
  <si>
    <t>I_p</t>
    <phoneticPr fontId="1" type="noConversion"/>
  </si>
  <si>
    <t>P_p</t>
    <phoneticPr fontId="1" type="noConversion"/>
  </si>
  <si>
    <t>Z_q</t>
    <phoneticPr fontId="1" type="noConversion"/>
  </si>
  <si>
    <t>I_q</t>
    <phoneticPr fontId="1" type="noConversion"/>
  </si>
  <si>
    <t>P_q</t>
    <phoneticPr fontId="1" type="noConversion"/>
  </si>
  <si>
    <t>k_pw</t>
    <phoneticPr fontId="1" type="noConversion"/>
  </si>
  <si>
    <t>k_qw</t>
    <phoneticPr fontId="1" type="noConversion"/>
  </si>
  <si>
    <t>Nominal Current</t>
    <phoneticPr fontId="1" type="noConversion"/>
  </si>
  <si>
    <t>Efficiency Curve (C0)</t>
    <phoneticPr fontId="1" type="noConversion"/>
  </si>
  <si>
    <t>Efficiency Curve (C1)</t>
    <phoneticPr fontId="1" type="noConversion"/>
  </si>
  <si>
    <t>Efficiency Curve (C2)</t>
    <phoneticPr fontId="1" type="noConversion"/>
  </si>
  <si>
    <t>freq_base [Hz]</t>
    <phoneticPr fontId="1" type="noConversion"/>
  </si>
  <si>
    <t>P IC Max [W]</t>
    <phoneticPr fontId="1" type="noConversion"/>
  </si>
  <si>
    <t>X [Ω]</t>
    <phoneticPr fontId="1" type="noConversion"/>
  </si>
  <si>
    <t>Mode ( 0 : AC / DC Hybrid, 1 : AC only, 2 : DC only)</t>
  </si>
  <si>
    <t>V0 [pu]</t>
    <phoneticPr fontId="1" type="noConversion"/>
  </si>
  <si>
    <t>V_base [V]</t>
    <phoneticPr fontId="1" type="noConversion"/>
  </si>
  <si>
    <t>B [S]</t>
    <phoneticPr fontId="1" type="noConversion"/>
  </si>
  <si>
    <t>Tap ratio</t>
    <phoneticPr fontId="1" type="noConversion"/>
  </si>
  <si>
    <t xml:space="preserve">angle(°) </t>
    <phoneticPr fontId="1" type="noConversion"/>
  </si>
  <si>
    <t>f_0 [pu]</t>
    <phoneticPr fontId="1" type="noConversion"/>
  </si>
  <si>
    <t>Droop Coefficient (P)
LVDC VM_norm</t>
    <phoneticPr fontId="1" type="noConversion"/>
  </si>
  <si>
    <t>Droop Coefficient (P)
MVDC VM_norm</t>
    <phoneticPr fontId="1" type="noConversion"/>
  </si>
  <si>
    <t>To (LVDC)</t>
    <phoneticPr fontId="1" type="noConversion"/>
  </si>
  <si>
    <t>From (MVDC)</t>
    <phoneticPr fontId="1" type="noConversion"/>
  </si>
  <si>
    <t xml:space="preserve">AC Gen Type
(No Gen : 0/AC Trans : 1/
Syn Gen : 2/IBR : 3) </t>
    <phoneticPr fontId="1" type="noConversion"/>
  </si>
  <si>
    <t>P_gen [W]</t>
    <phoneticPr fontId="1" type="noConversion"/>
  </si>
  <si>
    <t>Q_gen [Var]</t>
    <phoneticPr fontId="1" type="noConversion"/>
  </si>
  <si>
    <t>Va [°]</t>
    <phoneticPr fontId="1" type="noConversion"/>
  </si>
  <si>
    <t>connection
status (0/1)</t>
    <phoneticPr fontId="1" type="noConversion"/>
  </si>
  <si>
    <t>Bus / 시각</t>
    <phoneticPr fontId="1" type="noConversion"/>
  </si>
  <si>
    <t>connection
status (0/1)</t>
  </si>
  <si>
    <t>Control Mode
(Off : 0 / CV(LVDC) : 1 / 추후 : 2)</t>
  </si>
  <si>
    <t>V_min [pu]</t>
    <phoneticPr fontId="1" type="noConversion"/>
  </si>
  <si>
    <t>V_max [pu]</t>
    <phoneticPr fontId="1" type="noConversion"/>
  </si>
  <si>
    <t>rateA [MVA]</t>
    <phoneticPr fontId="1" type="noConversion"/>
  </si>
  <si>
    <t>rateB [MVA]</t>
    <phoneticPr fontId="1" type="noConversion"/>
  </si>
  <si>
    <t>rateC [MVA]</t>
    <phoneticPr fontId="1" type="noConversion"/>
  </si>
  <si>
    <t>Line #</t>
    <phoneticPr fontId="1" type="noConversion"/>
  </si>
  <si>
    <t>Bus_No</t>
    <phoneticPr fontId="1" type="noConversion"/>
  </si>
  <si>
    <r>
      <t xml:space="preserve">AC Gen Mode
 (PQ Mode : 0/Droop Mode : 1/ 
PV Mode : 2/Slack : 3)
</t>
    </r>
    <r>
      <rPr>
        <sz val="12"/>
        <color rgb="FFFF0000"/>
        <rFont val="맑은 고딕"/>
        <family val="3"/>
        <charset val="129"/>
      </rPr>
      <t>Same Bus = Same Gen Mode</t>
    </r>
    <phoneticPr fontId="1" type="noConversion"/>
  </si>
  <si>
    <t>Vg [pu]
(If Gen PV mode or Droop mode)</t>
    <phoneticPr fontId="1" type="noConversion"/>
  </si>
  <si>
    <t>Status
(미반영)</t>
    <phoneticPr fontId="1" type="noConversion"/>
  </si>
  <si>
    <t xml:space="preserve">DC Gen Type
(No Gen : 0/IBR : 1/
ESS : 2/Fuel Cell :3 / Generator : 4) </t>
    <phoneticPr fontId="1" type="noConversion"/>
  </si>
  <si>
    <r>
      <t xml:space="preserve">DC Gen Mode
 (P: Mode : 0/Droop Mode : 1/ 
CV Mode : 2)
</t>
    </r>
    <r>
      <rPr>
        <sz val="12"/>
        <color rgb="FFFF0000"/>
        <rFont val="맑은 고딕"/>
        <family val="3"/>
        <charset val="129"/>
      </rPr>
      <t>Same Bus = Same Gen Mode</t>
    </r>
    <phoneticPr fontId="1" type="noConversion"/>
  </si>
  <si>
    <t>VM min [pu]</t>
    <phoneticPr fontId="1" type="noConversion"/>
  </si>
  <si>
    <t>VM max [pu]</t>
    <phoneticPr fontId="1" type="noConversion"/>
  </si>
  <si>
    <t xml:space="preserve"> P Operating Point [W]</t>
    <phoneticPr fontId="1" type="noConversion"/>
  </si>
  <si>
    <t xml:space="preserve"> Q Operating Point [Var]</t>
    <phoneticPr fontId="1" type="noConversion"/>
  </si>
  <si>
    <t>freq_min [pu]</t>
    <phoneticPr fontId="1" type="noConversion"/>
  </si>
  <si>
    <t>freq_max[pu]</t>
    <phoneticPr fontId="1" type="noConversion"/>
  </si>
  <si>
    <t xml:space="preserve">AC Control Mode
( 0: CQ / 1 : Droop / 2 : CV ) </t>
    <phoneticPr fontId="1" type="noConversion"/>
  </si>
  <si>
    <t xml:space="preserve">DC Control Mode
( 0: CP / 1 : Droop / 2 : CV ) </t>
    <phoneticPr fontId="1" type="noConversion"/>
  </si>
  <si>
    <t>Frequency Control Mode
( 0 : Variable / 1 : Constant )</t>
    <phoneticPr fontId="1" type="noConversion"/>
  </si>
  <si>
    <t>Status
( 0 : off / 1 : on )</t>
    <phoneticPr fontId="1" type="noConversion"/>
  </si>
  <si>
    <t>Area(반영X)</t>
    <phoneticPr fontId="1" type="noConversion"/>
  </si>
  <si>
    <t>Rtf [pu]</t>
    <phoneticPr fontId="1" type="noConversion"/>
  </si>
  <si>
    <t>Xtf [pu]</t>
    <phoneticPr fontId="1" type="noConversion"/>
  </si>
  <si>
    <t>Bf [pu]</t>
    <phoneticPr fontId="1" type="noConversion"/>
  </si>
  <si>
    <t>Rc [pu]</t>
    <phoneticPr fontId="1" type="noConversion"/>
  </si>
  <si>
    <t>Xc [pu]</t>
    <phoneticPr fontId="1" type="noConversion"/>
  </si>
  <si>
    <t>LossA</t>
    <phoneticPr fontId="1" type="noConversion"/>
  </si>
  <si>
    <t>LossB</t>
    <phoneticPr fontId="1" type="noConversion"/>
  </si>
  <si>
    <t>LossC rec</t>
    <phoneticPr fontId="1" type="noConversion"/>
  </si>
  <si>
    <t>LossC inv</t>
    <phoneticPr fontId="1" type="noConversion"/>
  </si>
  <si>
    <t>freq_deadband(±) [Hz]</t>
    <phoneticPr fontId="1" type="noConversion"/>
  </si>
  <si>
    <t>|V| deadband (±) [pu]</t>
    <phoneticPr fontId="1" type="noConversion"/>
  </si>
  <si>
    <t>Local Sbase
[MVA]</t>
    <phoneticPr fontId="1" type="noConversion"/>
  </si>
  <si>
    <t>S_base [MVA]</t>
    <phoneticPr fontId="1" type="noConversion"/>
  </si>
  <si>
    <t>|V| deadband
(±) [pu]</t>
    <phoneticPr fontId="1" type="noConversion"/>
  </si>
  <si>
    <t>AC Transformer
status (0/1)</t>
    <phoneticPr fontId="1" type="noConversion"/>
  </si>
  <si>
    <t xml:space="preserve">Droop (P-f) [%]
</t>
    <phoneticPr fontId="1" type="noConversion"/>
  </si>
  <si>
    <t xml:space="preserve">Droop (Q-Vac) [%]
</t>
    <phoneticPr fontId="1" type="noConversion"/>
  </si>
  <si>
    <t xml:space="preserve">Droop (P-Vdc) [%]
</t>
    <phoneticPr fontId="1" type="noConversion"/>
  </si>
  <si>
    <t xml:space="preserve">Droop Coefficient (f-P) [%]
</t>
    <phoneticPr fontId="1" type="noConversion"/>
  </si>
  <si>
    <t xml:space="preserve">Droop Coefficient (P-Vdc) [%]
</t>
    <phoneticPr fontId="1" type="noConversion"/>
  </si>
  <si>
    <t xml:space="preserve">Droop Coefficient (Q-Vac) [%]
</t>
    <phoneticPr fontId="1" type="noConversion"/>
  </si>
  <si>
    <t>3w trans #</t>
    <phoneticPr fontId="1" type="noConversion"/>
  </si>
  <si>
    <t>Bus 1</t>
    <phoneticPr fontId="1" type="noConversion"/>
  </si>
  <si>
    <t>Bus 2</t>
    <phoneticPr fontId="1" type="noConversion"/>
  </si>
  <si>
    <t>Bus 3</t>
    <phoneticPr fontId="1" type="noConversion"/>
  </si>
  <si>
    <t>status (0/1)</t>
    <phoneticPr fontId="1" type="noConversion"/>
  </si>
  <si>
    <t>Vn1 [kV]</t>
    <phoneticPr fontId="1" type="noConversion"/>
  </si>
  <si>
    <t>Vn2 [kV]</t>
    <phoneticPr fontId="1" type="noConversion"/>
  </si>
  <si>
    <t>Vn3 [kV]</t>
    <phoneticPr fontId="1" type="noConversion"/>
  </si>
  <si>
    <t>Sn1 [MVA]</t>
    <phoneticPr fontId="1" type="noConversion"/>
  </si>
  <si>
    <t>Sn2 [MVA]</t>
    <phoneticPr fontId="1" type="noConversion"/>
  </si>
  <si>
    <t>Sn3 [MVA]</t>
    <phoneticPr fontId="1" type="noConversion"/>
  </si>
  <si>
    <t>r12</t>
    <phoneticPr fontId="1" type="noConversion"/>
  </si>
  <si>
    <t>r23</t>
    <phoneticPr fontId="1" type="noConversion"/>
  </si>
  <si>
    <t>r31</t>
    <phoneticPr fontId="1" type="noConversion"/>
  </si>
  <si>
    <t>x12</t>
    <phoneticPr fontId="1" type="noConversion"/>
  </si>
  <si>
    <t>x23</t>
    <phoneticPr fontId="1" type="noConversion"/>
  </si>
  <si>
    <t>x31</t>
    <phoneticPr fontId="1" type="noConversion"/>
  </si>
  <si>
    <t>vk12 [%]</t>
    <phoneticPr fontId="1" type="noConversion"/>
  </si>
  <si>
    <t>vk23 [%]</t>
    <phoneticPr fontId="1" type="noConversion"/>
  </si>
  <si>
    <t>vk31 [%]</t>
    <phoneticPr fontId="1" type="noConversion"/>
  </si>
  <si>
    <t>vkr12 [%]</t>
    <phoneticPr fontId="1" type="noConversion"/>
  </si>
  <si>
    <t>vkr23 [%]</t>
    <phoneticPr fontId="1" type="noConversion"/>
  </si>
  <si>
    <t>vkr31 [%]</t>
    <phoneticPr fontId="1" type="noConversion"/>
  </si>
  <si>
    <t>tap side</t>
    <phoneticPr fontId="1" type="noConversion"/>
  </si>
  <si>
    <t>tap ratio</t>
    <phoneticPr fontId="1" type="noConversion"/>
  </si>
  <si>
    <t>shift_deg MV [degree]</t>
    <phoneticPr fontId="1" type="noConversion"/>
  </si>
  <si>
    <t>shift_deg LV [degree]</t>
    <phoneticPr fontId="1" type="noConversion"/>
  </si>
  <si>
    <t>pfe [kW]</t>
    <phoneticPr fontId="1" type="noConversion"/>
  </si>
  <si>
    <t>i0 [%]</t>
    <phoneticPr fontId="1" type="noConversion"/>
  </si>
  <si>
    <t>winding map</t>
    <phoneticPr fontId="1" type="noConversion"/>
  </si>
  <si>
    <t>Gs[MW]</t>
    <phoneticPr fontId="1" type="noConversion"/>
  </si>
  <si>
    <t>Bs[Mvar]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</si>
</sst>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5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rgb="FFFF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1" fontId="0" fillId="0" borderId="1" xfId="0" applyNumberForma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0" borderId="0" xfId="0" applyFo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63500</xdr:colOff>
      <xdr:row>0</xdr:row>
      <xdr:rowOff>431800</xdr:rowOff>
    </xdr:from>
    <xdr:ext cx="1065996" cy="41838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9F3FA51-53DA-BE48-8247-E1163A671EE6}"/>
                </a:ext>
              </a:extLst>
            </xdr:cNvPr>
            <xdr:cNvSpPr txBox="1"/>
          </xdr:nvSpPr>
          <xdr:spPr>
            <a:xfrm>
              <a:off x="6134100" y="431800"/>
              <a:ext cx="1065996" cy="4183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n-US" altLang="ko-KR" sz="12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altLang="ko-KR" sz="12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altLang="ko-KR" sz="1200" b="0" i="1">
                                <a:latin typeface="Cambria Math" panose="02040503050406030204" pitchFamily="18" charset="0"/>
                              </a:rPr>
                              <m:t>𝑓𝑟𝑒</m:t>
                            </m:r>
                            <m:sSub>
                              <m:sSubPr>
                                <m:ctrlP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𝑞</m:t>
                                </m:r>
                              </m:e>
                              <m:sub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𝑝𝑢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𝑃</m:t>
                                </m:r>
                              </m:e>
                              <m:sub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𝑝𝑢</m:t>
                                </m:r>
                              </m:sub>
                            </m:sSub>
                          </m:den>
                        </m:f>
                        <m:r>
                          <a:rPr lang="en-US" altLang="ko-KR" sz="1200" b="0" i="1">
                            <a:latin typeface="Cambria Math" panose="02040503050406030204" pitchFamily="18" charset="0"/>
                          </a:rPr>
                          <m:t>×100</m:t>
                        </m:r>
                      </m:e>
                    </m:d>
                  </m:oMath>
                </m:oMathPara>
              </a14:m>
              <a:endParaRPr lang="ko-KR" altLang="en-US" sz="12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9F3FA51-53DA-BE48-8247-E1163A671EE6}"/>
                </a:ext>
              </a:extLst>
            </xdr:cNvPr>
            <xdr:cNvSpPr txBox="1"/>
          </xdr:nvSpPr>
          <xdr:spPr>
            <a:xfrm>
              <a:off x="6134100" y="431800"/>
              <a:ext cx="1065996" cy="4183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200" b="0" i="0">
                  <a:latin typeface="Cambria Math" panose="02040503050406030204" pitchFamily="18" charset="0"/>
                </a:rPr>
                <a:t>((𝑓𝑟𝑒𝑞_𝑝𝑢)/𝑃_𝑝𝑢 ×100)</a:t>
              </a:r>
              <a:endParaRPr lang="ko-KR" altLang="en-US" sz="1200"/>
            </a:p>
          </xdr:txBody>
        </xdr:sp>
      </mc:Fallback>
    </mc:AlternateContent>
    <xdr:clientData/>
  </xdr:oneCellAnchor>
  <xdr:oneCellAnchor>
    <xdr:from>
      <xdr:col>4</xdr:col>
      <xdr:colOff>241300</xdr:colOff>
      <xdr:row>0</xdr:row>
      <xdr:rowOff>444500</xdr:rowOff>
    </xdr:from>
    <xdr:ext cx="987129" cy="41838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B0D19BA-B821-A946-A5D0-AEB30F5EE2AD}"/>
                </a:ext>
              </a:extLst>
            </xdr:cNvPr>
            <xdr:cNvSpPr txBox="1"/>
          </xdr:nvSpPr>
          <xdr:spPr>
            <a:xfrm>
              <a:off x="7493000" y="444500"/>
              <a:ext cx="987129" cy="4183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n-US" altLang="ko-KR" sz="12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altLang="ko-KR" sz="12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𝑉</m:t>
                                </m:r>
                              </m:e>
                              <m:sub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𝐴𝐶</m:t>
                                </m:r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,</m:t>
                                </m:r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𝑝𝑢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𝑄</m:t>
                                </m:r>
                              </m:e>
                              <m:sub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𝑝𝑢</m:t>
                                </m:r>
                              </m:sub>
                            </m:sSub>
                          </m:den>
                        </m:f>
                        <m:r>
                          <a:rPr lang="en-US" altLang="ko-KR" sz="1200" b="0" i="1">
                            <a:latin typeface="Cambria Math" panose="02040503050406030204" pitchFamily="18" charset="0"/>
                          </a:rPr>
                          <m:t>×100</m:t>
                        </m:r>
                      </m:e>
                    </m:d>
                  </m:oMath>
                </m:oMathPara>
              </a14:m>
              <a:endParaRPr lang="ko-KR" altLang="en-US" sz="12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B0D19BA-B821-A946-A5D0-AEB30F5EE2AD}"/>
                </a:ext>
              </a:extLst>
            </xdr:cNvPr>
            <xdr:cNvSpPr txBox="1"/>
          </xdr:nvSpPr>
          <xdr:spPr>
            <a:xfrm>
              <a:off x="7493000" y="444500"/>
              <a:ext cx="987129" cy="4183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200" b="0" i="0">
                  <a:latin typeface="Cambria Math" panose="02040503050406030204" pitchFamily="18" charset="0"/>
                </a:rPr>
                <a:t>(𝑉_(𝐴𝐶,𝑝𝑢)/𝑄_𝑝𝑢 ×100)</a:t>
              </a:r>
              <a:endParaRPr lang="ko-KR" altLang="en-US" sz="12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241300</xdr:colOff>
      <xdr:row>0</xdr:row>
      <xdr:rowOff>444500</xdr:rowOff>
    </xdr:from>
    <xdr:ext cx="1000851" cy="41838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352A8D5-65C0-F048-8880-1ED20F8CAF0C}"/>
                </a:ext>
              </a:extLst>
            </xdr:cNvPr>
            <xdr:cNvSpPr txBox="1"/>
          </xdr:nvSpPr>
          <xdr:spPr>
            <a:xfrm>
              <a:off x="6032500" y="444500"/>
              <a:ext cx="1000851" cy="4183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n-US" altLang="ko-KR" sz="12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altLang="ko-KR" sz="12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𝑉</m:t>
                                </m:r>
                              </m:e>
                              <m:sub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𝐷𝐶</m:t>
                                </m:r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,</m:t>
                                </m:r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𝑝𝑢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𝑃</m:t>
                                </m:r>
                              </m:e>
                              <m:sub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𝑝𝑢</m:t>
                                </m:r>
                              </m:sub>
                            </m:sSub>
                          </m:den>
                        </m:f>
                        <m:r>
                          <a:rPr lang="en-US" altLang="ko-KR" sz="1200" b="0" i="1">
                            <a:latin typeface="Cambria Math" panose="02040503050406030204" pitchFamily="18" charset="0"/>
                          </a:rPr>
                          <m:t>×100</m:t>
                        </m:r>
                      </m:e>
                    </m:d>
                  </m:oMath>
                </m:oMathPara>
              </a14:m>
              <a:endParaRPr lang="ko-KR" altLang="en-US" sz="12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352A8D5-65C0-F048-8880-1ED20F8CAF0C}"/>
                </a:ext>
              </a:extLst>
            </xdr:cNvPr>
            <xdr:cNvSpPr txBox="1"/>
          </xdr:nvSpPr>
          <xdr:spPr>
            <a:xfrm>
              <a:off x="6032500" y="444500"/>
              <a:ext cx="1000851" cy="4183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200" b="0" i="0">
                  <a:latin typeface="Cambria Math" panose="02040503050406030204" pitchFamily="18" charset="0"/>
                </a:rPr>
                <a:t>(𝑉_(𝐷𝐶,𝑝𝑢)/𝑃_𝑝𝑢 ×100)</a:t>
              </a:r>
              <a:endParaRPr lang="ko-KR" altLang="en-US" sz="12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383712</xdr:colOff>
      <xdr:row>0</xdr:row>
      <xdr:rowOff>268127</xdr:rowOff>
    </xdr:from>
    <xdr:ext cx="1225977" cy="41838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2079246-697F-EC42-A09C-797B0C30020D}"/>
                </a:ext>
              </a:extLst>
            </xdr:cNvPr>
            <xdr:cNvSpPr txBox="1"/>
          </xdr:nvSpPr>
          <xdr:spPr>
            <a:xfrm>
              <a:off x="6352712" y="268127"/>
              <a:ext cx="1225977" cy="4183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n-US" altLang="ko-KR" sz="12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altLang="ko-KR" sz="12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altLang="ko-KR" sz="1200" b="0" i="1">
                                <a:latin typeface="Cambria Math" panose="02040503050406030204" pitchFamily="18" charset="0"/>
                              </a:rPr>
                              <m:t>𝑓𝑟𝑒</m:t>
                            </m:r>
                            <m:sSub>
                              <m:sSubPr>
                                <m:ctrlP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𝑞</m:t>
                                </m:r>
                              </m:e>
                              <m:sub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𝑛𝑜𝑟𝑚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𝑃</m:t>
                                </m:r>
                              </m:e>
                              <m:sub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𝑝𝑢</m:t>
                                </m:r>
                              </m:sub>
                            </m:sSub>
                          </m:den>
                        </m:f>
                        <m:r>
                          <a:rPr lang="en-US" altLang="ko-KR" sz="1200" b="0" i="1">
                            <a:latin typeface="Cambria Math" panose="02040503050406030204" pitchFamily="18" charset="0"/>
                          </a:rPr>
                          <m:t>×100</m:t>
                        </m:r>
                      </m:e>
                    </m:d>
                  </m:oMath>
                </m:oMathPara>
              </a14:m>
              <a:endParaRPr lang="ko-KR" altLang="en-US" sz="12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2079246-697F-EC42-A09C-797B0C30020D}"/>
                </a:ext>
              </a:extLst>
            </xdr:cNvPr>
            <xdr:cNvSpPr txBox="1"/>
          </xdr:nvSpPr>
          <xdr:spPr>
            <a:xfrm>
              <a:off x="6352712" y="268127"/>
              <a:ext cx="1225977" cy="4183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200" b="0" i="0">
                  <a:latin typeface="Cambria Math" panose="02040503050406030204" pitchFamily="18" charset="0"/>
                </a:rPr>
                <a:t>((𝑓𝑟𝑒𝑞_𝑛𝑜𝑟𝑚)/𝑃_𝑝𝑢 ×100)</a:t>
              </a:r>
              <a:endParaRPr lang="ko-KR" altLang="en-US" sz="1200"/>
            </a:p>
          </xdr:txBody>
        </xdr:sp>
      </mc:Fallback>
    </mc:AlternateContent>
    <xdr:clientData/>
  </xdr:oneCellAnchor>
  <xdr:oneCellAnchor>
    <xdr:from>
      <xdr:col>5</xdr:col>
      <xdr:colOff>556946</xdr:colOff>
      <xdr:row>0</xdr:row>
      <xdr:rowOff>250861</xdr:rowOff>
    </xdr:from>
    <xdr:ext cx="1160831" cy="41838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29175CC-D2A2-AA4A-B2A7-EADE92EF9858}"/>
                </a:ext>
              </a:extLst>
            </xdr:cNvPr>
            <xdr:cNvSpPr txBox="1"/>
          </xdr:nvSpPr>
          <xdr:spPr>
            <a:xfrm>
              <a:off x="8545246" y="250861"/>
              <a:ext cx="1160831" cy="4183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n-US" altLang="ko-KR" sz="12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altLang="ko-KR" sz="12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𝑉</m:t>
                                </m:r>
                              </m:e>
                              <m:sub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𝐷𝐶</m:t>
                                </m:r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.</m:t>
                                </m:r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𝑛𝑜𝑟𝑚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𝑃</m:t>
                                </m:r>
                              </m:e>
                              <m:sub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𝑝𝑢</m:t>
                                </m:r>
                              </m:sub>
                            </m:sSub>
                          </m:den>
                        </m:f>
                        <m:r>
                          <a:rPr lang="en-US" altLang="ko-KR" sz="1200" b="0" i="1">
                            <a:latin typeface="Cambria Math" panose="02040503050406030204" pitchFamily="18" charset="0"/>
                          </a:rPr>
                          <m:t>×100</m:t>
                        </m:r>
                      </m:e>
                    </m:d>
                  </m:oMath>
                </m:oMathPara>
              </a14:m>
              <a:endParaRPr lang="ko-KR" altLang="en-US" sz="12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29175CC-D2A2-AA4A-B2A7-EADE92EF9858}"/>
                </a:ext>
              </a:extLst>
            </xdr:cNvPr>
            <xdr:cNvSpPr txBox="1"/>
          </xdr:nvSpPr>
          <xdr:spPr>
            <a:xfrm>
              <a:off x="8545246" y="250861"/>
              <a:ext cx="1160831" cy="4183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200" b="0" i="0">
                  <a:latin typeface="Cambria Math" panose="02040503050406030204" pitchFamily="18" charset="0"/>
                </a:rPr>
                <a:t>(𝑉_(𝐷𝐶.𝑛𝑜𝑟𝑚)/𝑃_𝑝𝑢 ×100)</a:t>
              </a:r>
              <a:endParaRPr lang="ko-KR" altLang="en-US" sz="1200"/>
            </a:p>
          </xdr:txBody>
        </xdr:sp>
      </mc:Fallback>
    </mc:AlternateContent>
    <xdr:clientData/>
  </xdr:oneCellAnchor>
  <xdr:oneCellAnchor>
    <xdr:from>
      <xdr:col>6</xdr:col>
      <xdr:colOff>641137</xdr:colOff>
      <xdr:row>0</xdr:row>
      <xdr:rowOff>255856</xdr:rowOff>
    </xdr:from>
    <xdr:ext cx="987130" cy="41838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D38923CA-84EF-1842-9B37-8410611205F2}"/>
                </a:ext>
              </a:extLst>
            </xdr:cNvPr>
            <xdr:cNvSpPr txBox="1"/>
          </xdr:nvSpPr>
          <xdr:spPr>
            <a:xfrm>
              <a:off x="10902737" y="255856"/>
              <a:ext cx="987130" cy="4183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n-US" altLang="ko-KR" sz="12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altLang="ko-KR" sz="12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𝑉</m:t>
                                </m:r>
                              </m:e>
                              <m:sub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𝐴𝐶</m:t>
                                </m:r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.</m:t>
                                </m:r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𝑝𝑢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𝑄</m:t>
                                </m:r>
                              </m:e>
                              <m:sub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𝑝𝑢</m:t>
                                </m:r>
                              </m:sub>
                            </m:sSub>
                          </m:den>
                        </m:f>
                        <m:r>
                          <a:rPr lang="en-US" altLang="ko-KR" sz="1200" b="0" i="1">
                            <a:latin typeface="Cambria Math" panose="02040503050406030204" pitchFamily="18" charset="0"/>
                          </a:rPr>
                          <m:t>×100</m:t>
                        </m:r>
                      </m:e>
                    </m:d>
                  </m:oMath>
                </m:oMathPara>
              </a14:m>
              <a:endParaRPr lang="ko-KR" altLang="en-US" sz="12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D38923CA-84EF-1842-9B37-8410611205F2}"/>
                </a:ext>
              </a:extLst>
            </xdr:cNvPr>
            <xdr:cNvSpPr txBox="1"/>
          </xdr:nvSpPr>
          <xdr:spPr>
            <a:xfrm>
              <a:off x="10902737" y="255856"/>
              <a:ext cx="987130" cy="4183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200" b="0" i="0">
                  <a:latin typeface="Cambria Math" panose="02040503050406030204" pitchFamily="18" charset="0"/>
                </a:rPr>
                <a:t>(𝑉_(𝐴𝐶.𝑝𝑢)/𝑄_𝑝𝑢 ×100)</a:t>
              </a:r>
              <a:endParaRPr lang="ko-KR" altLang="en-US" sz="12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0CF80-1075-DD4A-A346-85221BD6BACF}">
  <dimension ref="A1:A2"/>
  <sheetViews>
    <sheetView workbookViewId="0">
      <selection activeCell="E55" sqref="E55"/>
    </sheetView>
  </sheetViews>
  <sheetFormatPr baseColWidth="10" defaultRowHeight="18"/>
  <cols>
    <col min="1" max="1" width="45.85546875" style="1" bestFit="1" customWidth="1"/>
    <col min="2" max="16384" width="10.7109375" style="1"/>
  </cols>
  <sheetData>
    <row r="1" spans="1:1">
      <c r="A1" s="8" t="s">
        <v>22</v>
      </c>
    </row>
    <row r="2" spans="1:1">
      <c r="A2" s="1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94573-8ABB-E147-9E3D-0F68B15DD303}">
  <dimension ref="A1:Q7"/>
  <sheetViews>
    <sheetView zoomScaleNormal="100" workbookViewId="0">
      <selection activeCell="B5" sqref="B5:C7"/>
    </sheetView>
  </sheetViews>
  <sheetFormatPr baseColWidth="10" defaultColWidth="10.7109375" defaultRowHeight="18"/>
  <cols>
    <col min="1" max="1" width="4.42578125" style="1" bestFit="1" customWidth="1"/>
    <col min="2" max="2" width="7.85546875" style="1" bestFit="1" customWidth="1"/>
    <col min="3" max="3" width="8.42578125" style="1" bestFit="1" customWidth="1"/>
    <col min="4" max="5" width="4.42578125" style="1" customWidth="1"/>
    <col min="6" max="6" width="3.85546875" style="1" customWidth="1"/>
    <col min="7" max="7" width="4.42578125" style="1" customWidth="1"/>
    <col min="8" max="9" width="5.5703125" style="1" customWidth="1"/>
    <col min="10" max="10" width="10.7109375" style="1"/>
    <col min="11" max="11" width="11" style="1" customWidth="1"/>
    <col min="12" max="16384" width="10.7109375" style="1"/>
  </cols>
  <sheetData>
    <row r="1" spans="1:17" ht="19">
      <c r="A1" s="3" t="s">
        <v>0</v>
      </c>
      <c r="B1" s="3" t="s">
        <v>115</v>
      </c>
      <c r="C1" s="3" t="s">
        <v>116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  <c r="K1" s="4" t="s">
        <v>14</v>
      </c>
      <c r="L1" s="4" t="s">
        <v>23</v>
      </c>
      <c r="M1" s="4" t="s">
        <v>36</v>
      </c>
      <c r="N1" s="4" t="s">
        <v>24</v>
      </c>
      <c r="O1" s="3" t="s">
        <v>41</v>
      </c>
      <c r="P1" s="3" t="s">
        <v>42</v>
      </c>
      <c r="Q1" s="3" t="s">
        <v>63</v>
      </c>
    </row>
    <row r="2" spans="1:17">
      <c r="A2" s="2">
        <v>1</v>
      </c>
      <c r="B2" s="2">
        <v>0</v>
      </c>
      <c r="C2" s="2">
        <v>0</v>
      </c>
      <c r="D2" s="2">
        <v>0</v>
      </c>
      <c r="E2" s="2">
        <v>0</v>
      </c>
      <c r="F2" s="2">
        <v>1</v>
      </c>
      <c r="G2" s="2">
        <v>0</v>
      </c>
      <c r="H2" s="2">
        <v>0</v>
      </c>
      <c r="I2" s="2">
        <v>1</v>
      </c>
      <c r="J2" s="2">
        <v>0</v>
      </c>
      <c r="K2" s="2">
        <v>0</v>
      </c>
      <c r="L2" s="2">
        <v>1</v>
      </c>
      <c r="M2" s="2">
        <v>0</v>
      </c>
      <c r="N2" s="2">
        <v>127</v>
      </c>
      <c r="O2" s="2">
        <v>0.90700000000000003</v>
      </c>
      <c r="P2" s="2">
        <v>1.0389999999999999</v>
      </c>
      <c r="Q2" s="2">
        <v>1</v>
      </c>
    </row>
    <row r="3" spans="1:17">
      <c r="A3" s="2">
        <v>2</v>
      </c>
      <c r="B3" s="2">
        <v>0</v>
      </c>
      <c r="C3" s="2">
        <v>0</v>
      </c>
      <c r="D3" s="2">
        <v>0</v>
      </c>
      <c r="E3" s="2">
        <v>0</v>
      </c>
      <c r="F3" s="2">
        <v>1</v>
      </c>
      <c r="G3" s="2">
        <v>0</v>
      </c>
      <c r="H3" s="2">
        <v>0</v>
      </c>
      <c r="I3" s="2">
        <v>1</v>
      </c>
      <c r="J3" s="2">
        <v>0</v>
      </c>
      <c r="K3" s="2">
        <v>0</v>
      </c>
      <c r="L3" s="2">
        <v>1</v>
      </c>
      <c r="M3" s="2">
        <v>0</v>
      </c>
      <c r="N3" s="2">
        <v>127</v>
      </c>
      <c r="O3" s="2">
        <v>0.90700000000000003</v>
      </c>
      <c r="P3" s="2">
        <v>1.0389999999999999</v>
      </c>
      <c r="Q3" s="2">
        <v>1</v>
      </c>
    </row>
    <row r="4" spans="1:17">
      <c r="A4" s="2">
        <v>3</v>
      </c>
      <c r="B4" s="2">
        <v>0</v>
      </c>
      <c r="C4" s="2">
        <v>0</v>
      </c>
      <c r="D4" s="2">
        <v>0</v>
      </c>
      <c r="E4" s="2">
        <v>0</v>
      </c>
      <c r="F4" s="2">
        <v>1</v>
      </c>
      <c r="G4" s="2">
        <v>0</v>
      </c>
      <c r="H4" s="2">
        <v>0</v>
      </c>
      <c r="I4" s="2">
        <v>1</v>
      </c>
      <c r="J4" s="2">
        <v>0</v>
      </c>
      <c r="K4" s="2">
        <v>0</v>
      </c>
      <c r="L4" s="2">
        <v>1</v>
      </c>
      <c r="M4" s="2">
        <v>0</v>
      </c>
      <c r="N4" s="2">
        <v>127</v>
      </c>
      <c r="O4" s="2">
        <v>0.90700000000000003</v>
      </c>
      <c r="P4" s="2">
        <v>1.0389999999999999</v>
      </c>
      <c r="Q4" s="2">
        <v>1</v>
      </c>
    </row>
    <row r="5" spans="1:17">
      <c r="A5" s="2">
        <v>4</v>
      </c>
      <c r="B5" s="2">
        <v>0</v>
      </c>
      <c r="C5" s="2">
        <v>0</v>
      </c>
      <c r="D5" s="2">
        <v>0</v>
      </c>
      <c r="E5" s="2">
        <v>0</v>
      </c>
      <c r="F5" s="2">
        <v>1</v>
      </c>
      <c r="G5" s="2">
        <v>0</v>
      </c>
      <c r="H5" s="2">
        <v>0</v>
      </c>
      <c r="I5" s="2">
        <v>1</v>
      </c>
      <c r="J5" s="2">
        <v>0</v>
      </c>
      <c r="K5" s="2">
        <v>0</v>
      </c>
      <c r="L5" s="2">
        <v>1</v>
      </c>
      <c r="M5" s="2">
        <v>0</v>
      </c>
      <c r="N5" s="2">
        <v>127</v>
      </c>
      <c r="O5" s="2">
        <v>0.90700000000000003</v>
      </c>
      <c r="P5" s="2">
        <v>1.0389999999999999</v>
      </c>
      <c r="Q5" s="2">
        <v>1</v>
      </c>
    </row>
    <row r="6" spans="1:17">
      <c r="A6" s="2">
        <v>5</v>
      </c>
      <c r="B6" s="2">
        <v>0</v>
      </c>
      <c r="C6" s="2">
        <v>0</v>
      </c>
      <c r="D6" s="2">
        <v>0</v>
      </c>
      <c r="E6" s="2">
        <v>0</v>
      </c>
      <c r="F6" s="2">
        <v>1</v>
      </c>
      <c r="G6" s="2">
        <v>0</v>
      </c>
      <c r="H6" s="2">
        <v>0</v>
      </c>
      <c r="I6" s="2">
        <v>1</v>
      </c>
      <c r="J6" s="2">
        <v>0</v>
      </c>
      <c r="K6" s="2">
        <v>0</v>
      </c>
      <c r="L6" s="2">
        <v>1</v>
      </c>
      <c r="M6" s="2">
        <v>0</v>
      </c>
      <c r="N6" s="2">
        <v>127</v>
      </c>
      <c r="O6" s="2">
        <v>0.90700000000000003</v>
      </c>
      <c r="P6" s="2">
        <v>1.0389999999999999</v>
      </c>
      <c r="Q6" s="2">
        <v>1</v>
      </c>
    </row>
    <row r="7" spans="1:17">
      <c r="A7" s="2">
        <v>6</v>
      </c>
      <c r="B7" s="2">
        <v>0</v>
      </c>
      <c r="C7" s="2">
        <v>0</v>
      </c>
      <c r="D7" s="2">
        <v>0</v>
      </c>
      <c r="E7" s="2">
        <v>0</v>
      </c>
      <c r="F7" s="2">
        <v>1</v>
      </c>
      <c r="G7" s="2">
        <v>0</v>
      </c>
      <c r="H7" s="2">
        <v>0</v>
      </c>
      <c r="I7" s="2">
        <v>1</v>
      </c>
      <c r="J7" s="2">
        <v>0</v>
      </c>
      <c r="K7" s="2">
        <v>0</v>
      </c>
      <c r="L7" s="2">
        <v>1</v>
      </c>
      <c r="M7" s="2">
        <v>0</v>
      </c>
      <c r="N7" s="2">
        <v>127</v>
      </c>
      <c r="O7" s="2">
        <v>0.90700000000000003</v>
      </c>
      <c r="P7" s="2">
        <v>1.0389999999999999</v>
      </c>
      <c r="Q7" s="2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0D8E6-3998-174D-8185-E3A24973A238}">
  <dimension ref="A1:M6"/>
  <sheetViews>
    <sheetView zoomScale="110" zoomScaleNormal="110" workbookViewId="0">
      <selection activeCell="K35" sqref="K35"/>
    </sheetView>
  </sheetViews>
  <sheetFormatPr baseColWidth="10" defaultColWidth="10.7109375" defaultRowHeight="18"/>
  <cols>
    <col min="1" max="11" width="10.7109375" style="1"/>
    <col min="12" max="12" width="13.5703125" style="1" customWidth="1"/>
    <col min="13" max="16384" width="10.7109375" style="1"/>
  </cols>
  <sheetData>
    <row r="1" spans="1:13" ht="42" customHeight="1">
      <c r="A1" s="3" t="s">
        <v>46</v>
      </c>
      <c r="B1" s="3" t="s">
        <v>1</v>
      </c>
      <c r="C1" s="3" t="s">
        <v>2</v>
      </c>
      <c r="D1" s="3" t="s">
        <v>3</v>
      </c>
      <c r="E1" s="3" t="s">
        <v>21</v>
      </c>
      <c r="F1" s="10" t="s">
        <v>25</v>
      </c>
      <c r="G1" s="3" t="s">
        <v>26</v>
      </c>
      <c r="H1" s="3" t="s">
        <v>27</v>
      </c>
      <c r="I1" s="3" t="s">
        <v>43</v>
      </c>
      <c r="J1" s="3" t="s">
        <v>44</v>
      </c>
      <c r="K1" s="3" t="s">
        <v>45</v>
      </c>
      <c r="L1" s="4" t="s">
        <v>78</v>
      </c>
      <c r="M1" s="4" t="s">
        <v>37</v>
      </c>
    </row>
    <row r="2" spans="1:13">
      <c r="A2" s="15">
        <v>1</v>
      </c>
      <c r="B2" s="2">
        <v>1</v>
      </c>
      <c r="C2" s="2">
        <v>2</v>
      </c>
      <c r="D2" s="2">
        <v>0.02</v>
      </c>
      <c r="E2" s="2">
        <f>0.12732/1000*100*PI()</f>
        <v>3.9998757665505244E-2</v>
      </c>
      <c r="F2" s="6">
        <v>0</v>
      </c>
      <c r="G2" s="6">
        <v>0</v>
      </c>
      <c r="H2" s="6">
        <v>0</v>
      </c>
      <c r="I2" s="2">
        <v>100</v>
      </c>
      <c r="J2" s="2">
        <v>100</v>
      </c>
      <c r="K2" s="2">
        <v>100</v>
      </c>
      <c r="L2" s="2">
        <v>0</v>
      </c>
      <c r="M2" s="2">
        <v>1</v>
      </c>
    </row>
    <row r="3" spans="1:13">
      <c r="A3" s="15">
        <v>2</v>
      </c>
      <c r="B3" s="2">
        <v>2</v>
      </c>
      <c r="C3" s="2">
        <v>3</v>
      </c>
      <c r="D3" s="2">
        <v>0.06</v>
      </c>
      <c r="E3" s="2">
        <f>0.38197/1000*100*PI()</f>
        <v>0.11999941458916931</v>
      </c>
      <c r="F3" s="6">
        <v>0</v>
      </c>
      <c r="G3" s="6">
        <v>0</v>
      </c>
      <c r="H3" s="6">
        <v>0</v>
      </c>
      <c r="I3" s="2">
        <v>100</v>
      </c>
      <c r="J3" s="2">
        <v>100</v>
      </c>
      <c r="K3" s="2">
        <v>100</v>
      </c>
      <c r="L3" s="2">
        <v>0</v>
      </c>
      <c r="M3" s="2">
        <v>1</v>
      </c>
    </row>
    <row r="4" spans="1:13">
      <c r="A4" s="15">
        <v>3</v>
      </c>
      <c r="B4" s="2">
        <v>3</v>
      </c>
      <c r="C4" s="2">
        <v>6</v>
      </c>
      <c r="D4" s="2">
        <v>0.01</v>
      </c>
      <c r="E4" s="2">
        <f>0.06366/1000*100*PI()</f>
        <v>1.9999378832752622E-2</v>
      </c>
      <c r="F4" s="6">
        <v>0</v>
      </c>
      <c r="G4" s="6">
        <v>0</v>
      </c>
      <c r="H4" s="6">
        <v>0</v>
      </c>
      <c r="I4" s="2">
        <v>100</v>
      </c>
      <c r="J4" s="2">
        <v>100</v>
      </c>
      <c r="K4" s="2">
        <v>100</v>
      </c>
      <c r="L4" s="2">
        <v>0</v>
      </c>
      <c r="M4" s="2">
        <v>1</v>
      </c>
    </row>
    <row r="5" spans="1:13">
      <c r="A5" s="15">
        <v>4</v>
      </c>
      <c r="B5" s="2">
        <v>4</v>
      </c>
      <c r="C5" s="2">
        <v>1</v>
      </c>
      <c r="D5" s="2">
        <v>0.08</v>
      </c>
      <c r="E5" s="2">
        <f>0.5093/1000*100*PI()</f>
        <v>0.16000131384732816</v>
      </c>
      <c r="F5" s="6">
        <v>0</v>
      </c>
      <c r="G5" s="6">
        <v>0</v>
      </c>
      <c r="H5" s="6">
        <v>0</v>
      </c>
      <c r="I5" s="2">
        <v>100</v>
      </c>
      <c r="J5" s="2">
        <v>100</v>
      </c>
      <c r="K5" s="2">
        <v>100</v>
      </c>
      <c r="L5" s="2">
        <v>0</v>
      </c>
      <c r="M5" s="2">
        <v>1</v>
      </c>
    </row>
    <row r="6" spans="1:13">
      <c r="A6" s="15">
        <v>5</v>
      </c>
      <c r="B6" s="2">
        <v>5</v>
      </c>
      <c r="C6" s="2">
        <v>2</v>
      </c>
      <c r="D6" s="2">
        <v>0.04</v>
      </c>
      <c r="E6" s="2">
        <f>0.25465/1000*100*PI()</f>
        <v>8.0000656923664079E-2</v>
      </c>
      <c r="F6" s="6">
        <v>0</v>
      </c>
      <c r="G6" s="6">
        <v>0</v>
      </c>
      <c r="H6" s="6">
        <v>0</v>
      </c>
      <c r="I6" s="2">
        <v>100</v>
      </c>
      <c r="J6" s="2">
        <v>100</v>
      </c>
      <c r="K6" s="2">
        <v>100</v>
      </c>
      <c r="L6" s="2">
        <v>0</v>
      </c>
      <c r="M6" s="2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202AA-9F7D-1348-A379-963F58ECD25E}">
  <dimension ref="A1:K4"/>
  <sheetViews>
    <sheetView workbookViewId="0">
      <selection activeCell="K4" sqref="K4"/>
    </sheetView>
  </sheetViews>
  <sheetFormatPr baseColWidth="10" defaultRowHeight="18"/>
  <cols>
    <col min="2" max="2" width="27.42578125" customWidth="1"/>
    <col min="3" max="3" width="30" customWidth="1"/>
    <col min="4" max="4" width="13.28515625" customWidth="1"/>
    <col min="5" max="5" width="16.42578125" customWidth="1"/>
    <col min="8" max="8" width="14.140625" customWidth="1"/>
  </cols>
  <sheetData>
    <row r="1" spans="1:11" ht="76">
      <c r="A1" s="3" t="s">
        <v>47</v>
      </c>
      <c r="B1" s="4" t="s">
        <v>33</v>
      </c>
      <c r="C1" s="4" t="s">
        <v>48</v>
      </c>
      <c r="D1" s="4" t="s">
        <v>79</v>
      </c>
      <c r="E1" s="4" t="s">
        <v>80</v>
      </c>
      <c r="F1" s="4" t="s">
        <v>34</v>
      </c>
      <c r="G1" s="4" t="s">
        <v>35</v>
      </c>
      <c r="H1" s="4" t="s">
        <v>49</v>
      </c>
      <c r="I1" s="4" t="s">
        <v>50</v>
      </c>
      <c r="J1" s="4" t="s">
        <v>75</v>
      </c>
      <c r="K1" s="4" t="s">
        <v>74</v>
      </c>
    </row>
    <row r="2" spans="1:11">
      <c r="A2" s="2">
        <v>4</v>
      </c>
      <c r="B2" s="2">
        <v>3</v>
      </c>
      <c r="C2" s="2">
        <v>1</v>
      </c>
      <c r="D2" s="2">
        <v>2.9921967116355586E-2</v>
      </c>
      <c r="E2" s="7">
        <f>1/138.1633*100</f>
        <v>0.72378120673145474</v>
      </c>
      <c r="F2" s="2">
        <v>0</v>
      </c>
      <c r="G2" s="2">
        <v>0</v>
      </c>
      <c r="H2" s="2">
        <v>1</v>
      </c>
      <c r="I2" s="2">
        <v>1</v>
      </c>
      <c r="J2" s="7">
        <v>1E-3</v>
      </c>
      <c r="K2" s="2">
        <v>0</v>
      </c>
    </row>
    <row r="3" spans="1:11">
      <c r="A3" s="2">
        <v>5</v>
      </c>
      <c r="B3" s="2">
        <v>3</v>
      </c>
      <c r="C3" s="2">
        <v>1</v>
      </c>
      <c r="D3" s="2">
        <v>2.9921967116355586E-2</v>
      </c>
      <c r="E3" s="7">
        <v>0.72378120673145474</v>
      </c>
      <c r="F3" s="2">
        <v>0</v>
      </c>
      <c r="G3" s="2">
        <v>0</v>
      </c>
      <c r="H3" s="2">
        <v>1</v>
      </c>
      <c r="I3" s="2">
        <v>1</v>
      </c>
      <c r="J3" s="7">
        <v>1E-3</v>
      </c>
      <c r="K3" s="2">
        <v>0</v>
      </c>
    </row>
    <row r="4" spans="1:11">
      <c r="A4" s="2">
        <v>6</v>
      </c>
      <c r="B4" s="2">
        <v>3</v>
      </c>
      <c r="C4" s="2">
        <v>1</v>
      </c>
      <c r="D4" s="2">
        <v>2.9921967116355586E-2</v>
      </c>
      <c r="E4" s="7">
        <v>0.72378120673145474</v>
      </c>
      <c r="F4" s="2">
        <v>0</v>
      </c>
      <c r="G4" s="2">
        <v>0</v>
      </c>
      <c r="H4" s="2">
        <v>1</v>
      </c>
      <c r="I4" s="2">
        <v>1</v>
      </c>
      <c r="J4" s="7">
        <v>1E-3</v>
      </c>
      <c r="K4" s="2">
        <v>0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F7112-4F66-1B44-AA6D-DE59CF1367E7}">
  <dimension ref="A1:AD1"/>
  <sheetViews>
    <sheetView zoomScale="120" zoomScaleNormal="120" workbookViewId="0">
      <selection activeCell="D2" sqref="A2:XFD2"/>
    </sheetView>
  </sheetViews>
  <sheetFormatPr baseColWidth="10" defaultRowHeight="18"/>
  <cols>
    <col min="26" max="27" width="19.28515625" bestFit="1" customWidth="1"/>
    <col min="30" max="30" width="18.140625" bestFit="1" customWidth="1"/>
  </cols>
  <sheetData>
    <row r="1" spans="1:30">
      <c r="A1" s="3" t="s">
        <v>85</v>
      </c>
      <c r="B1" s="3" t="s">
        <v>86</v>
      </c>
      <c r="C1" s="3" t="s">
        <v>87</v>
      </c>
      <c r="D1" s="3" t="s">
        <v>88</v>
      </c>
      <c r="E1" s="3" t="s">
        <v>89</v>
      </c>
      <c r="F1" s="3" t="s">
        <v>90</v>
      </c>
      <c r="G1" s="3" t="s">
        <v>91</v>
      </c>
      <c r="H1" s="3" t="s">
        <v>92</v>
      </c>
      <c r="I1" s="3" t="s">
        <v>93</v>
      </c>
      <c r="J1" s="3" t="s">
        <v>94</v>
      </c>
      <c r="K1" s="3" t="s">
        <v>95</v>
      </c>
      <c r="L1" s="3" t="s">
        <v>96</v>
      </c>
      <c r="M1" s="3" t="s">
        <v>97</v>
      </c>
      <c r="N1" s="3" t="s">
        <v>98</v>
      </c>
      <c r="O1" s="3" t="s">
        <v>99</v>
      </c>
      <c r="P1" s="3" t="s">
        <v>100</v>
      </c>
      <c r="Q1" s="3" t="s">
        <v>101</v>
      </c>
      <c r="R1" s="3" t="s">
        <v>102</v>
      </c>
      <c r="S1" s="3" t="s">
        <v>103</v>
      </c>
      <c r="T1" s="3" t="s">
        <v>104</v>
      </c>
      <c r="U1" s="3" t="s">
        <v>105</v>
      </c>
      <c r="V1" s="3" t="s">
        <v>106</v>
      </c>
      <c r="W1" s="3" t="s">
        <v>107</v>
      </c>
      <c r="X1" s="3" t="s">
        <v>108</v>
      </c>
      <c r="Y1" s="3" t="s">
        <v>109</v>
      </c>
      <c r="Z1" s="3" t="s">
        <v>110</v>
      </c>
      <c r="AA1" s="3" t="s">
        <v>111</v>
      </c>
      <c r="AB1" s="3" t="s">
        <v>112</v>
      </c>
      <c r="AC1" s="3" t="s">
        <v>113</v>
      </c>
      <c r="AD1" s="3" t="s">
        <v>114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5B29B-50D1-F240-AB1B-EEE7314E6086}">
  <dimension ref="A1:B7"/>
  <sheetViews>
    <sheetView workbookViewId="0">
      <selection activeCell="C1" sqref="C1:Y1048576"/>
    </sheetView>
  </sheetViews>
  <sheetFormatPr baseColWidth="10" defaultRowHeight="18"/>
  <sheetData>
    <row r="1" spans="1:2" s="1" customFormat="1">
      <c r="A1" s="3" t="s">
        <v>38</v>
      </c>
      <c r="B1" s="3">
        <v>1</v>
      </c>
    </row>
    <row r="2" spans="1:2">
      <c r="A2" s="3">
        <v>1</v>
      </c>
      <c r="B2" s="2">
        <v>1614</v>
      </c>
    </row>
    <row r="3" spans="1:2">
      <c r="A3" s="3">
        <v>2</v>
      </c>
      <c r="B3" s="2">
        <v>0</v>
      </c>
    </row>
    <row r="4" spans="1:2">
      <c r="A4" s="3">
        <v>3</v>
      </c>
      <c r="B4" s="2">
        <v>2145</v>
      </c>
    </row>
    <row r="5" spans="1:2">
      <c r="A5" s="3">
        <v>4</v>
      </c>
      <c r="B5" s="2">
        <v>0</v>
      </c>
    </row>
    <row r="6" spans="1:2">
      <c r="A6" s="3">
        <v>5</v>
      </c>
      <c r="B6" s="2">
        <v>0</v>
      </c>
    </row>
    <row r="7" spans="1:2">
      <c r="A7" s="3">
        <v>6</v>
      </c>
      <c r="B7" s="2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57FF3-7CE8-9641-A798-2975F9E8A115}">
  <dimension ref="A1:B7"/>
  <sheetViews>
    <sheetView workbookViewId="0">
      <selection activeCell="C1" sqref="C1:AC1048576"/>
    </sheetView>
  </sheetViews>
  <sheetFormatPr baseColWidth="10" defaultRowHeight="18"/>
  <sheetData>
    <row r="1" spans="1:2" s="1" customFormat="1">
      <c r="A1" s="3" t="s">
        <v>38</v>
      </c>
      <c r="B1" s="3">
        <v>1</v>
      </c>
    </row>
    <row r="2" spans="1:2">
      <c r="A2" s="3">
        <v>1</v>
      </c>
      <c r="B2" s="2">
        <v>1068</v>
      </c>
    </row>
    <row r="3" spans="1:2">
      <c r="A3" s="3">
        <v>2</v>
      </c>
      <c r="B3" s="2">
        <v>0</v>
      </c>
    </row>
    <row r="4" spans="1:2">
      <c r="A4" s="3">
        <v>3</v>
      </c>
      <c r="B4" s="2">
        <v>1516</v>
      </c>
    </row>
    <row r="5" spans="1:2">
      <c r="A5" s="3">
        <v>4</v>
      </c>
      <c r="B5" s="2">
        <v>0</v>
      </c>
    </row>
    <row r="6" spans="1:2">
      <c r="A6" s="3">
        <v>5</v>
      </c>
      <c r="B6" s="2">
        <v>0</v>
      </c>
    </row>
    <row r="7" spans="1:2">
      <c r="A7" s="3">
        <v>6</v>
      </c>
      <c r="B7" s="2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281B0-0D74-204D-848C-C2676F12A705}">
  <dimension ref="A1:F7"/>
  <sheetViews>
    <sheetView workbookViewId="0">
      <selection activeCell="B1" sqref="B1:C1048576"/>
    </sheetView>
  </sheetViews>
  <sheetFormatPr baseColWidth="10" defaultColWidth="11.5703125" defaultRowHeight="18"/>
  <cols>
    <col min="2" max="2" width="14.85546875" bestFit="1" customWidth="1"/>
    <col min="5" max="5" width="14.5703125" bestFit="1" customWidth="1"/>
  </cols>
  <sheetData>
    <row r="1" spans="1:6" s="1" customFormat="1" ht="19">
      <c r="A1" s="3" t="s">
        <v>0</v>
      </c>
      <c r="B1" s="3" t="s">
        <v>15</v>
      </c>
      <c r="C1" s="4" t="s">
        <v>23</v>
      </c>
      <c r="D1" s="4" t="s">
        <v>24</v>
      </c>
      <c r="E1" s="3" t="s">
        <v>53</v>
      </c>
      <c r="F1" s="3" t="s">
        <v>54</v>
      </c>
    </row>
    <row r="2" spans="1:6">
      <c r="A2" s="2">
        <v>7</v>
      </c>
      <c r="B2" s="2">
        <v>0</v>
      </c>
      <c r="C2" s="5">
        <v>1</v>
      </c>
      <c r="D2" s="2">
        <v>400</v>
      </c>
      <c r="E2" s="2">
        <v>0.95</v>
      </c>
      <c r="F2" s="2">
        <v>1.05</v>
      </c>
    </row>
    <row r="3" spans="1:6">
      <c r="A3" s="2">
        <v>8</v>
      </c>
      <c r="B3" s="2">
        <v>0</v>
      </c>
      <c r="C3" s="2">
        <v>1</v>
      </c>
      <c r="D3" s="2">
        <v>400</v>
      </c>
      <c r="E3" s="2">
        <v>0.95</v>
      </c>
      <c r="F3" s="2">
        <v>1.05</v>
      </c>
    </row>
    <row r="4" spans="1:6">
      <c r="A4" s="2">
        <v>9</v>
      </c>
      <c r="B4" s="2">
        <v>0</v>
      </c>
      <c r="C4" s="5">
        <v>1</v>
      </c>
      <c r="D4" s="2">
        <v>400</v>
      </c>
      <c r="E4" s="2">
        <v>0.95</v>
      </c>
      <c r="F4" s="2">
        <v>1.05</v>
      </c>
    </row>
    <row r="5" spans="1:6">
      <c r="A5" s="2">
        <v>10</v>
      </c>
      <c r="B5" s="2">
        <v>0</v>
      </c>
      <c r="C5" s="2">
        <v>1</v>
      </c>
      <c r="D5" s="2">
        <v>400</v>
      </c>
      <c r="E5" s="2">
        <v>0.95</v>
      </c>
      <c r="F5" s="2">
        <v>1.05</v>
      </c>
    </row>
    <row r="6" spans="1:6">
      <c r="A6" s="2">
        <v>11</v>
      </c>
      <c r="B6" s="2">
        <v>0</v>
      </c>
      <c r="C6" s="2">
        <v>1</v>
      </c>
      <c r="D6" s="2">
        <v>400</v>
      </c>
      <c r="E6" s="2">
        <v>0.95</v>
      </c>
      <c r="F6" s="2">
        <v>1.05</v>
      </c>
    </row>
    <row r="7" spans="1:6">
      <c r="A7" s="2">
        <v>12</v>
      </c>
      <c r="B7" s="2">
        <v>0</v>
      </c>
      <c r="C7" s="2">
        <v>1</v>
      </c>
      <c r="D7" s="2">
        <v>400</v>
      </c>
      <c r="E7" s="2">
        <v>0.95</v>
      </c>
      <c r="F7" s="2">
        <v>1.05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5CB48-A4A2-3B45-AE12-15D4777DC8B8}">
  <dimension ref="A1:M24"/>
  <sheetViews>
    <sheetView zoomScale="120" zoomScaleNormal="120" workbookViewId="0">
      <selection activeCell="H1" sqref="H1"/>
    </sheetView>
  </sheetViews>
  <sheetFormatPr baseColWidth="10" defaultColWidth="11.5703125" defaultRowHeight="18"/>
  <cols>
    <col min="4" max="4" width="11.28515625" style="1" bestFit="1" customWidth="1"/>
    <col min="5" max="6" width="11.5703125" style="1"/>
  </cols>
  <sheetData>
    <row r="1" spans="1:8" ht="38">
      <c r="A1" s="3" t="s">
        <v>46</v>
      </c>
      <c r="B1" s="3" t="s">
        <v>1</v>
      </c>
      <c r="C1" s="3" t="s">
        <v>2</v>
      </c>
      <c r="D1" s="3" t="s">
        <v>3</v>
      </c>
      <c r="E1" s="3" t="s">
        <v>43</v>
      </c>
      <c r="F1" s="3" t="s">
        <v>44</v>
      </c>
      <c r="G1" s="3" t="s">
        <v>45</v>
      </c>
      <c r="H1" s="12" t="s">
        <v>39</v>
      </c>
    </row>
    <row r="2" spans="1:8">
      <c r="A2" s="15">
        <v>1</v>
      </c>
      <c r="B2" s="2">
        <v>7</v>
      </c>
      <c r="C2" s="2">
        <v>8</v>
      </c>
      <c r="D2" s="2">
        <v>0.1</v>
      </c>
      <c r="E2" s="2">
        <v>100</v>
      </c>
      <c r="F2" s="2">
        <v>10</v>
      </c>
      <c r="G2" s="2">
        <v>10</v>
      </c>
      <c r="H2" s="13">
        <v>1</v>
      </c>
    </row>
    <row r="3" spans="1:8">
      <c r="A3" s="15">
        <v>2</v>
      </c>
      <c r="B3" s="2">
        <v>8</v>
      </c>
      <c r="C3" s="2">
        <v>9</v>
      </c>
      <c r="D3" s="2">
        <v>0.2</v>
      </c>
      <c r="E3" s="2">
        <v>100</v>
      </c>
      <c r="F3" s="2">
        <v>10</v>
      </c>
      <c r="G3" s="2">
        <v>10</v>
      </c>
      <c r="H3" s="13">
        <v>1</v>
      </c>
    </row>
    <row r="4" spans="1:8">
      <c r="A4" s="15">
        <v>3</v>
      </c>
      <c r="B4" s="2">
        <v>7</v>
      </c>
      <c r="C4" s="2">
        <v>10</v>
      </c>
      <c r="D4" s="2">
        <v>0.05</v>
      </c>
      <c r="E4" s="2">
        <v>100</v>
      </c>
      <c r="F4" s="2">
        <v>10</v>
      </c>
      <c r="G4" s="2">
        <v>10</v>
      </c>
      <c r="H4" s="13">
        <v>1</v>
      </c>
    </row>
    <row r="5" spans="1:8">
      <c r="A5" s="15">
        <v>4</v>
      </c>
      <c r="B5" s="2">
        <v>10</v>
      </c>
      <c r="C5" s="2">
        <v>11</v>
      </c>
      <c r="D5" s="2">
        <v>0.02</v>
      </c>
      <c r="E5" s="2">
        <v>100</v>
      </c>
      <c r="F5" s="2">
        <v>10</v>
      </c>
      <c r="G5" s="2">
        <v>10</v>
      </c>
      <c r="H5" s="13">
        <v>1</v>
      </c>
    </row>
    <row r="6" spans="1:8">
      <c r="A6" s="15">
        <v>5</v>
      </c>
      <c r="B6" s="2">
        <v>11</v>
      </c>
      <c r="C6" s="2">
        <v>12</v>
      </c>
      <c r="D6" s="2">
        <v>0.2</v>
      </c>
      <c r="E6" s="2">
        <v>100</v>
      </c>
      <c r="F6" s="2">
        <v>10</v>
      </c>
      <c r="G6" s="2">
        <v>10</v>
      </c>
      <c r="H6" s="13">
        <v>1</v>
      </c>
    </row>
    <row r="7" spans="1:8">
      <c r="A7" s="15">
        <v>6</v>
      </c>
      <c r="B7" s="2">
        <v>12</v>
      </c>
      <c r="C7" s="2">
        <v>9</v>
      </c>
      <c r="D7" s="2">
        <v>0.05</v>
      </c>
      <c r="E7" s="2">
        <v>100</v>
      </c>
      <c r="F7" s="2">
        <v>10</v>
      </c>
      <c r="G7" s="2">
        <v>10</v>
      </c>
      <c r="H7" s="13">
        <v>1</v>
      </c>
    </row>
    <row r="24" spans="13:13">
      <c r="M24" s="11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A7574-2C62-2D4A-AD60-EB5B73B4D45B}">
  <dimension ref="A1:I3"/>
  <sheetViews>
    <sheetView workbookViewId="0">
      <selection activeCell="I2" sqref="I2"/>
    </sheetView>
  </sheetViews>
  <sheetFormatPr baseColWidth="10" defaultRowHeight="18"/>
  <cols>
    <col min="2" max="2" width="28.7109375" customWidth="1"/>
    <col min="3" max="3" width="25.7109375" customWidth="1"/>
    <col min="4" max="4" width="15.42578125" customWidth="1"/>
    <col min="6" max="6" width="14.85546875" bestFit="1" customWidth="1"/>
  </cols>
  <sheetData>
    <row r="1" spans="1:9" ht="76">
      <c r="A1" s="3" t="s">
        <v>47</v>
      </c>
      <c r="B1" s="4" t="s">
        <v>51</v>
      </c>
      <c r="C1" s="4" t="s">
        <v>52</v>
      </c>
      <c r="D1" s="4" t="s">
        <v>81</v>
      </c>
      <c r="E1" s="4" t="s">
        <v>34</v>
      </c>
      <c r="F1" s="4" t="s">
        <v>49</v>
      </c>
      <c r="G1" s="4" t="s">
        <v>50</v>
      </c>
      <c r="H1" s="4" t="s">
        <v>75</v>
      </c>
      <c r="I1" s="4" t="s">
        <v>77</v>
      </c>
    </row>
    <row r="2" spans="1:9">
      <c r="A2" s="2">
        <v>9</v>
      </c>
      <c r="B2" s="2">
        <v>1</v>
      </c>
      <c r="C2" s="2">
        <v>1</v>
      </c>
      <c r="D2" s="2">
        <v>2.5000000000000001E-2</v>
      </c>
      <c r="E2" s="7">
        <v>0</v>
      </c>
      <c r="F2" s="2">
        <v>1</v>
      </c>
      <c r="G2" s="2">
        <v>1</v>
      </c>
      <c r="H2" s="7">
        <v>1E-3</v>
      </c>
      <c r="I2" s="2">
        <v>0</v>
      </c>
    </row>
    <row r="3" spans="1:9">
      <c r="A3" s="2">
        <v>10</v>
      </c>
      <c r="B3" s="2">
        <v>1</v>
      </c>
      <c r="C3" s="2">
        <v>1</v>
      </c>
      <c r="D3" s="2">
        <v>2.5000000000000001E-2</v>
      </c>
      <c r="E3" s="7">
        <v>0</v>
      </c>
      <c r="F3" s="2">
        <v>1</v>
      </c>
      <c r="G3" s="2">
        <v>1</v>
      </c>
      <c r="H3" s="7">
        <v>1E-3</v>
      </c>
      <c r="I3" s="2">
        <v>0</v>
      </c>
    </row>
  </sheetData>
  <phoneticPr fontId="1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B53A0-36DB-D546-B3DE-B35EAEE55B28}">
  <dimension ref="A1:B7"/>
  <sheetViews>
    <sheetView workbookViewId="0">
      <selection activeCell="L18" sqref="L18"/>
    </sheetView>
  </sheetViews>
  <sheetFormatPr baseColWidth="10" defaultRowHeight="18"/>
  <sheetData>
    <row r="1" spans="1:2" s="1" customFormat="1">
      <c r="A1" s="3" t="s">
        <v>38</v>
      </c>
      <c r="B1" s="3">
        <v>1</v>
      </c>
    </row>
    <row r="2" spans="1:2">
      <c r="A2" s="3">
        <v>7</v>
      </c>
      <c r="B2" s="2">
        <v>10000</v>
      </c>
    </row>
    <row r="3" spans="1:2">
      <c r="A3" s="3">
        <v>8</v>
      </c>
      <c r="B3" s="2">
        <v>0</v>
      </c>
    </row>
    <row r="4" spans="1:2">
      <c r="A4" s="3">
        <v>9</v>
      </c>
      <c r="B4" s="2">
        <v>0</v>
      </c>
    </row>
    <row r="5" spans="1:2">
      <c r="A5" s="3">
        <v>10</v>
      </c>
      <c r="B5" s="2">
        <v>0</v>
      </c>
    </row>
    <row r="6" spans="1:2">
      <c r="A6" s="3">
        <v>11</v>
      </c>
      <c r="B6" s="2">
        <v>7300</v>
      </c>
    </row>
    <row r="7" spans="1:2">
      <c r="A7" s="3">
        <v>12</v>
      </c>
      <c r="B7" s="2">
        <v>7300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4F6C0-2EF3-4871-BE92-57D1D7C95F76}">
  <dimension ref="A1:T2"/>
  <sheetViews>
    <sheetView tabSelected="1" topLeftCell="D1" zoomScaleNormal="100" workbookViewId="0">
      <selection activeCell="M2" sqref="M2"/>
    </sheetView>
  </sheetViews>
  <sheetFormatPr baseColWidth="10" defaultColWidth="8.7109375" defaultRowHeight="18"/>
  <cols>
    <col min="1" max="1" width="9.140625" style="1" bestFit="1" customWidth="1"/>
    <col min="2" max="2" width="7.140625" style="1" bestFit="1" customWidth="1"/>
    <col min="3" max="3" width="25.5703125" style="1" bestFit="1" customWidth="1"/>
    <col min="4" max="4" width="25.28515625" style="1" bestFit="1" customWidth="1"/>
    <col min="5" max="5" width="22.7109375" style="1" customWidth="1"/>
    <col min="6" max="7" width="25.5703125" style="1" customWidth="1"/>
    <col min="8" max="8" width="20" style="1" bestFit="1" customWidth="1"/>
    <col min="9" max="9" width="21.42578125" style="1" bestFit="1" customWidth="1"/>
    <col min="10" max="10" width="11.28515625" style="1" bestFit="1" customWidth="1"/>
    <col min="11" max="11" width="8.7109375" style="1" bestFit="1" customWidth="1"/>
    <col min="12" max="14" width="7.7109375" style="1" bestFit="1" customWidth="1"/>
    <col min="15" max="15" width="8.7109375" style="1" bestFit="1" customWidth="1"/>
    <col min="16" max="16" width="15.42578125" style="1" bestFit="1" customWidth="1"/>
    <col min="17" max="18" width="6.7109375" style="1" bestFit="1" customWidth="1"/>
    <col min="19" max="20" width="9" style="1" bestFit="1" customWidth="1"/>
    <col min="21" max="16384" width="8.7109375" style="1"/>
  </cols>
  <sheetData>
    <row r="1" spans="1:20" ht="57">
      <c r="A1" s="3" t="s">
        <v>4</v>
      </c>
      <c r="B1" s="3" t="s">
        <v>5</v>
      </c>
      <c r="C1" s="4" t="s">
        <v>59</v>
      </c>
      <c r="D1" s="4" t="s">
        <v>60</v>
      </c>
      <c r="E1" s="4" t="s">
        <v>82</v>
      </c>
      <c r="F1" s="4" t="s">
        <v>83</v>
      </c>
      <c r="G1" s="4" t="s">
        <v>84</v>
      </c>
      <c r="H1" s="4" t="s">
        <v>55</v>
      </c>
      <c r="I1" s="4" t="s">
        <v>56</v>
      </c>
      <c r="J1" s="4" t="s">
        <v>43</v>
      </c>
      <c r="K1" s="4" t="s">
        <v>64</v>
      </c>
      <c r="L1" s="4" t="s">
        <v>65</v>
      </c>
      <c r="M1" s="4" t="s">
        <v>66</v>
      </c>
      <c r="N1" s="4" t="s">
        <v>67</v>
      </c>
      <c r="O1" s="4" t="s">
        <v>68</v>
      </c>
      <c r="P1" s="4" t="s">
        <v>62</v>
      </c>
      <c r="Q1" s="4" t="s">
        <v>69</v>
      </c>
      <c r="R1" s="4" t="s">
        <v>70</v>
      </c>
      <c r="S1" s="4" t="s">
        <v>71</v>
      </c>
      <c r="T1" s="16" t="s">
        <v>72</v>
      </c>
    </row>
    <row r="2" spans="1:20">
      <c r="A2" s="2">
        <v>2</v>
      </c>
      <c r="B2" s="2">
        <v>8</v>
      </c>
      <c r="C2" s="2">
        <v>1</v>
      </c>
      <c r="D2" s="2">
        <v>1</v>
      </c>
      <c r="E2" s="2">
        <v>200</v>
      </c>
      <c r="F2" s="2">
        <v>200</v>
      </c>
      <c r="G2" s="2">
        <v>0.72378120673145463</v>
      </c>
      <c r="H2" s="2">
        <v>0</v>
      </c>
      <c r="I2" s="2">
        <v>0</v>
      </c>
      <c r="J2" s="7">
        <v>1E-3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1</v>
      </c>
      <c r="Q2" s="2">
        <v>0</v>
      </c>
      <c r="R2" s="2">
        <v>0</v>
      </c>
      <c r="S2" s="2">
        <v>0</v>
      </c>
      <c r="T2" s="2">
        <v>0</v>
      </c>
    </row>
  </sheetData>
  <phoneticPr fontId="1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2257A-959A-884A-A9B0-8ABE33740908}">
  <dimension ref="A1:J1"/>
  <sheetViews>
    <sheetView zoomScaleNormal="100" workbookViewId="0">
      <selection activeCell="C5" sqref="C5:C6"/>
    </sheetView>
  </sheetViews>
  <sheetFormatPr baseColWidth="10" defaultColWidth="8.7109375" defaultRowHeight="18"/>
  <cols>
    <col min="1" max="1" width="12" style="1" bestFit="1" customWidth="1"/>
    <col min="2" max="2" width="12.5703125" style="1" customWidth="1"/>
    <col min="3" max="3" width="18.28515625" style="1" customWidth="1"/>
    <col min="4" max="4" width="20.7109375" style="1" customWidth="1"/>
    <col min="5" max="5" width="19.7109375" style="1" customWidth="1"/>
    <col min="6" max="7" width="25.28515625" style="1" customWidth="1"/>
    <col min="8" max="8" width="17" style="1" bestFit="1" customWidth="1"/>
    <col min="9" max="9" width="12" style="1" bestFit="1" customWidth="1"/>
    <col min="10" max="10" width="32.5703125" style="1" customWidth="1"/>
    <col min="11" max="16384" width="8.7109375" style="1"/>
  </cols>
  <sheetData>
    <row r="1" spans="1:10" ht="38">
      <c r="A1" s="3" t="s">
        <v>32</v>
      </c>
      <c r="B1" s="3" t="s">
        <v>31</v>
      </c>
      <c r="C1" s="3" t="s">
        <v>16</v>
      </c>
      <c r="D1" s="3" t="s">
        <v>17</v>
      </c>
      <c r="E1" s="3" t="s">
        <v>18</v>
      </c>
      <c r="F1" s="4" t="s">
        <v>30</v>
      </c>
      <c r="G1" s="4" t="s">
        <v>29</v>
      </c>
      <c r="H1" s="3" t="s">
        <v>6</v>
      </c>
      <c r="I1" s="3" t="s">
        <v>20</v>
      </c>
      <c r="J1" s="12" t="s">
        <v>40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36866-2CC5-D94A-A4EC-AC30BE6C6183}">
  <dimension ref="A1:H11"/>
  <sheetViews>
    <sheetView zoomScale="120" zoomScaleNormal="120" workbookViewId="0">
      <selection activeCell="H2" sqref="H2"/>
    </sheetView>
  </sheetViews>
  <sheetFormatPr baseColWidth="10" defaultColWidth="10.7109375" defaultRowHeight="18"/>
  <cols>
    <col min="1" max="1" width="10.7109375" style="1"/>
    <col min="2" max="2" width="13" style="1" bestFit="1" customWidth="1"/>
    <col min="3" max="5" width="10.7109375" style="1"/>
    <col min="6" max="6" width="25.140625" style="1" bestFit="1" customWidth="1"/>
    <col min="7" max="7" width="20" style="1" bestFit="1" customWidth="1"/>
    <col min="8" max="8" width="19.140625" style="1" bestFit="1" customWidth="1"/>
    <col min="9" max="16384" width="10.7109375" style="1"/>
  </cols>
  <sheetData>
    <row r="1" spans="1:8" ht="38">
      <c r="A1" s="3" t="s">
        <v>76</v>
      </c>
      <c r="B1" s="3" t="s">
        <v>19</v>
      </c>
      <c r="C1" s="3" t="s">
        <v>28</v>
      </c>
      <c r="D1" s="4" t="s">
        <v>57</v>
      </c>
      <c r="E1" s="4" t="s">
        <v>58</v>
      </c>
      <c r="F1" s="14" t="s">
        <v>61</v>
      </c>
      <c r="G1" s="3" t="s">
        <v>73</v>
      </c>
      <c r="H1" s="3" t="s">
        <v>74</v>
      </c>
    </row>
    <row r="2" spans="1:8">
      <c r="A2" s="7">
        <v>1E-3</v>
      </c>
      <c r="B2" s="2">
        <v>50</v>
      </c>
      <c r="C2" s="9">
        <v>1</v>
      </c>
      <c r="D2" s="9">
        <v>0.97499999999999998</v>
      </c>
      <c r="E2" s="9">
        <v>1.02</v>
      </c>
      <c r="F2" s="2">
        <v>0</v>
      </c>
      <c r="G2" s="7">
        <v>3.5999999999999997E-2</v>
      </c>
      <c r="H2" s="2">
        <v>0</v>
      </c>
    </row>
    <row r="11" spans="1:8">
      <c r="F11" s="2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Mode</vt:lpstr>
      <vt:lpstr>AC Bus Data</vt:lpstr>
      <vt:lpstr>AC Line Data</vt:lpstr>
      <vt:lpstr>AC Gen Data</vt:lpstr>
      <vt:lpstr>AC 3w Transformer Data</vt:lpstr>
      <vt:lpstr>AC P Consume Data</vt:lpstr>
      <vt:lpstr>AC Q Consume Data</vt:lpstr>
      <vt:lpstr>DC Bus Data</vt:lpstr>
      <vt:lpstr>DC Line Data</vt:lpstr>
      <vt:lpstr>DC Gen Data</vt:lpstr>
      <vt:lpstr>DC P Consume Data</vt:lpstr>
      <vt:lpstr>ACDC IC Data</vt:lpstr>
      <vt:lpstr>MVDC LVDC Converter Data</vt:lpstr>
      <vt:lpstr>Sbase,frequency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장하민</dc:creator>
  <cp:lastModifiedBy>Chang, Hamin</cp:lastModifiedBy>
  <dcterms:created xsi:type="dcterms:W3CDTF">2024-09-19T13:51:03Z</dcterms:created>
  <dcterms:modified xsi:type="dcterms:W3CDTF">2026-05-04T09:11:09Z</dcterms:modified>
</cp:coreProperties>
</file>